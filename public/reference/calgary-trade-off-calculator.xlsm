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CHAPPELLE\Desktop\"/>
    </mc:Choice>
  </mc:AlternateContent>
  <xr:revisionPtr revIDLastSave="0" documentId="13_ncr:1_{1F9A6B21-42BE-44DE-9314-DFA6FE37BEEF}" xr6:coauthVersionLast="47" xr6:coauthVersionMax="47" xr10:uidLastSave="{00000000-0000-0000-0000-000000000000}"/>
  <bookViews>
    <workbookView xWindow="37320" yWindow="9105" windowWidth="25440" windowHeight="15270" xr2:uid="{00000000-000D-0000-FFFF-FFFF00000000}"/>
  </bookViews>
  <sheets>
    <sheet name="Part 3 Trade-off Worksheet" sheetId="1" r:id="rId1"/>
    <sheet name="Sheet3" sheetId="3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1" l="1"/>
  <c r="L12" i="1"/>
  <c r="L14" i="1"/>
  <c r="M14" i="1"/>
  <c r="L15" i="1"/>
  <c r="L16" i="1"/>
  <c r="L17" i="1"/>
  <c r="L18" i="1"/>
  <c r="L19" i="1"/>
  <c r="L20" i="1"/>
  <c r="L21" i="1"/>
  <c r="L22" i="1"/>
  <c r="L23" i="1"/>
  <c r="M15" i="1"/>
  <c r="M16" i="1"/>
  <c r="M17" i="1"/>
  <c r="M18" i="1"/>
  <c r="M19" i="1"/>
  <c r="M20" i="1"/>
  <c r="M21" i="1"/>
  <c r="M22" i="1"/>
  <c r="M23" i="1"/>
  <c r="M13" i="1"/>
  <c r="L13" i="1"/>
  <c r="I24" i="1"/>
  <c r="H24" i="1"/>
  <c r="M1" i="3" l="1"/>
  <c r="L1" i="3"/>
  <c r="L24" i="1"/>
  <c r="M24" i="1"/>
  <c r="A26" i="1" l="1"/>
</calcChain>
</file>

<file path=xl/sharedStrings.xml><?xml version="1.0" encoding="utf-8"?>
<sst xmlns="http://schemas.openxmlformats.org/spreadsheetml/2006/main" count="27" uniqueCount="27">
  <si>
    <t>Wall</t>
  </si>
  <si>
    <t>Fenestration</t>
  </si>
  <si>
    <t>Door</t>
  </si>
  <si>
    <t>Roof</t>
  </si>
  <si>
    <t>Floor</t>
  </si>
  <si>
    <t>Skylight</t>
  </si>
  <si>
    <t>Project Name:</t>
  </si>
  <si>
    <t>Project Address:</t>
  </si>
  <si>
    <t>Applicant Name:</t>
  </si>
  <si>
    <t>Applicant Address:</t>
  </si>
  <si>
    <t>TOTALS:</t>
  </si>
  <si>
    <t>Description or Identification of Building Envelope Assembly</t>
  </si>
  <si>
    <r>
      <t>Area of Assembly in Reference Building: 
A</t>
    </r>
    <r>
      <rPr>
        <vertAlign val="subscript"/>
        <sz val="11"/>
        <color theme="1"/>
        <rFont val="Arial"/>
        <family val="2"/>
      </rPr>
      <t>ir</t>
    </r>
    <r>
      <rPr>
        <sz val="11"/>
        <color theme="1"/>
        <rFont val="Arial"/>
        <family val="2"/>
      </rPr>
      <t>,
(m²)</t>
    </r>
  </si>
  <si>
    <r>
      <t>Area of Assembly in Proposed Building: 
A</t>
    </r>
    <r>
      <rPr>
        <vertAlign val="subscript"/>
        <sz val="11"/>
        <color theme="1"/>
        <rFont val="Arial"/>
        <family val="2"/>
      </rPr>
      <t>ip</t>
    </r>
    <r>
      <rPr>
        <sz val="11"/>
        <color theme="1"/>
        <rFont val="Arial"/>
        <family val="2"/>
      </rPr>
      <t>,
(m²)</t>
    </r>
  </si>
  <si>
    <t>Building Permit Number (Completed Internally)</t>
  </si>
  <si>
    <t>Opaque Portions</t>
  </si>
  <si>
    <t>Fenestration Portions</t>
  </si>
  <si>
    <r>
      <t>A</t>
    </r>
    <r>
      <rPr>
        <vertAlign val="subscript"/>
        <sz val="11"/>
        <color theme="1"/>
        <rFont val="Arial"/>
        <family val="2"/>
      </rPr>
      <t>ir</t>
    </r>
    <r>
      <rPr>
        <sz val="11"/>
        <color theme="1"/>
        <rFont val="Arial"/>
        <family val="2"/>
      </rPr>
      <t xml:space="preserve"> / R</t>
    </r>
    <r>
      <rPr>
        <vertAlign val="subscript"/>
        <sz val="11"/>
        <color theme="1"/>
        <rFont val="Arial"/>
        <family val="2"/>
      </rPr>
      <t xml:space="preserve">ir
</t>
    </r>
    <r>
      <rPr>
        <vertAlign val="subscript"/>
        <sz val="16"/>
        <color theme="1"/>
        <rFont val="Arial"/>
        <family val="2"/>
      </rPr>
      <t>(W/K)</t>
    </r>
  </si>
  <si>
    <r>
      <t>A</t>
    </r>
    <r>
      <rPr>
        <vertAlign val="subscript"/>
        <sz val="11"/>
        <color theme="1"/>
        <rFont val="Arial"/>
        <family val="2"/>
      </rPr>
      <t>ip</t>
    </r>
    <r>
      <rPr>
        <sz val="11"/>
        <color theme="1"/>
        <rFont val="Arial"/>
        <family val="2"/>
      </rPr>
      <t xml:space="preserve"> / R</t>
    </r>
    <r>
      <rPr>
        <vertAlign val="subscript"/>
        <sz val="11"/>
        <color theme="1"/>
        <rFont val="Arial"/>
        <family val="2"/>
      </rPr>
      <t xml:space="preserve">ip
</t>
    </r>
    <r>
      <rPr>
        <vertAlign val="subscript"/>
        <sz val="16"/>
        <color theme="1"/>
        <rFont val="Arial"/>
        <family val="2"/>
      </rPr>
      <t>(W/K)</t>
    </r>
  </si>
  <si>
    <r>
      <t>Thermal Resistance of Assembly in Proposed Building: R</t>
    </r>
    <r>
      <rPr>
        <vertAlign val="subscript"/>
        <sz val="11"/>
        <color theme="1"/>
        <rFont val="Arial"/>
        <family val="2"/>
      </rPr>
      <t>ip</t>
    </r>
    <r>
      <rPr>
        <sz val="11"/>
        <color theme="1"/>
        <rFont val="Arial"/>
        <family val="2"/>
      </rPr>
      <t xml:space="preserve">  (m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Calibri"/>
        <family val="2"/>
      </rPr>
      <t>•</t>
    </r>
    <r>
      <rPr>
        <sz val="11"/>
        <color theme="1"/>
        <rFont val="Arial"/>
        <family val="2"/>
      </rPr>
      <t>K)/W</t>
    </r>
  </si>
  <si>
    <r>
      <t>Is building envelope compliant with simple trade-off path? (A</t>
    </r>
    <r>
      <rPr>
        <vertAlign val="subscript"/>
        <sz val="14"/>
        <color theme="0"/>
        <rFont val="Arial"/>
        <family val="2"/>
      </rPr>
      <t xml:space="preserve">ip </t>
    </r>
    <r>
      <rPr>
        <sz val="14"/>
        <color theme="0"/>
        <rFont val="Arial"/>
        <family val="2"/>
      </rPr>
      <t>/ R</t>
    </r>
    <r>
      <rPr>
        <vertAlign val="subscript"/>
        <sz val="14"/>
        <color theme="0"/>
        <rFont val="Arial"/>
        <family val="2"/>
      </rPr>
      <t>ip</t>
    </r>
    <r>
      <rPr>
        <sz val="14"/>
        <color theme="0"/>
        <rFont val="Arial"/>
        <family val="2"/>
      </rPr>
      <t xml:space="preserve"> </t>
    </r>
    <r>
      <rPr>
        <u/>
        <sz val="14"/>
        <color theme="0"/>
        <rFont val="Arial"/>
        <family val="2"/>
      </rPr>
      <t>&lt;</t>
    </r>
    <r>
      <rPr>
        <sz val="14"/>
        <color theme="0"/>
        <rFont val="Arial"/>
        <family val="2"/>
      </rPr>
      <t xml:space="preserve"> total A</t>
    </r>
    <r>
      <rPr>
        <vertAlign val="subscript"/>
        <sz val="14"/>
        <color theme="0"/>
        <rFont val="Arial"/>
        <family val="2"/>
      </rPr>
      <t>ir</t>
    </r>
    <r>
      <rPr>
        <sz val="14"/>
        <color theme="0"/>
        <rFont val="Arial"/>
        <family val="2"/>
      </rPr>
      <t xml:space="preserve"> / R</t>
    </r>
    <r>
      <rPr>
        <vertAlign val="subscript"/>
        <sz val="14"/>
        <color theme="0"/>
        <rFont val="Arial"/>
        <family val="2"/>
      </rPr>
      <t>ir</t>
    </r>
    <r>
      <rPr>
        <sz val="14"/>
        <color theme="0"/>
        <rFont val="Arial"/>
        <family val="2"/>
      </rPr>
      <t xml:space="preserve"> and A</t>
    </r>
    <r>
      <rPr>
        <vertAlign val="subscript"/>
        <sz val="14"/>
        <color theme="0"/>
        <rFont val="Arial"/>
        <family val="2"/>
      </rPr>
      <t>ip</t>
    </r>
    <r>
      <rPr>
        <sz val="14"/>
        <color theme="0"/>
        <rFont val="Arial"/>
        <family val="2"/>
      </rPr>
      <t xml:space="preserve"> = A</t>
    </r>
    <r>
      <rPr>
        <vertAlign val="subscript"/>
        <sz val="14"/>
        <color theme="0"/>
        <rFont val="Arial"/>
        <family val="2"/>
      </rPr>
      <t>ir</t>
    </r>
    <r>
      <rPr>
        <sz val="14"/>
        <color theme="0"/>
        <rFont val="Arial"/>
        <family val="2"/>
      </rPr>
      <t xml:space="preserve"> )</t>
    </r>
  </si>
  <si>
    <t>Trade-off Calculations for Above-ground Building Envelope Assemblies</t>
  </si>
  <si>
    <t>Fenestration Trade offs are limited to fenestration on the same elevation. Please indicate which elevation contains the fenestration being calculated</t>
  </si>
  <si>
    <r>
      <t>Minimum Allowable Thermal Resistance of Assembly in Reference Building (prescriptive values): R</t>
    </r>
    <r>
      <rPr>
        <vertAlign val="subscript"/>
        <sz val="11"/>
        <color theme="1"/>
        <rFont val="Arial"/>
        <family val="2"/>
      </rPr>
      <t xml:space="preserve">ir </t>
    </r>
    <r>
      <rPr>
        <sz val="11"/>
        <color theme="1"/>
        <rFont val="Arial"/>
        <family val="2"/>
      </rPr>
      <t xml:space="preserve"> (m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Calibri"/>
        <family val="2"/>
      </rPr>
      <t>•</t>
    </r>
    <r>
      <rPr>
        <sz val="11"/>
        <color theme="1"/>
        <rFont val="Arial"/>
        <family val="2"/>
      </rPr>
      <t>K)/W</t>
    </r>
  </si>
  <si>
    <t>The areas used in the above calculation shall be clearly indicated on the accompanying drawings.</t>
  </si>
  <si>
    <t>National Building Code 2019 Alberta Edition Article 9.36.2.11                                                                                              Worksheet for Building Envelope Trade-Off</t>
  </si>
  <si>
    <t xml:space="preserve">North            South            East            West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</si>
</sst>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4"/>
      <color theme="0"/>
      <name val="Arial"/>
      <family val="2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vertAlign val="subscript"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6"/>
      <color theme="1"/>
      <name val="Arial"/>
      <family val="2"/>
    </font>
    <font>
      <b/>
      <sz val="11"/>
      <color theme="1"/>
      <name val="Arial"/>
      <family val="2"/>
    </font>
    <font>
      <vertAlign val="subscript"/>
      <sz val="14"/>
      <color theme="0"/>
      <name val="Arial"/>
      <family val="2"/>
    </font>
    <font>
      <u/>
      <sz val="14"/>
      <color theme="0"/>
      <name val="Arial"/>
      <family val="2"/>
    </font>
    <font>
      <sz val="11"/>
      <color theme="0" tint="-0.34998626667073579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/>
    <xf numFmtId="0" fontId="0" fillId="0" borderId="0" xfId="0" applyProtection="1">
      <protection locked="0"/>
    </xf>
    <xf numFmtId="0" fontId="4" fillId="0" borderId="10" xfId="0" applyFont="1" applyBorder="1" applyAlignment="1" applyProtection="1">
      <alignment horizontal="left" vertical="center"/>
    </xf>
    <xf numFmtId="0" fontId="4" fillId="0" borderId="10" xfId="0" applyFont="1" applyBorder="1" applyAlignment="1" applyProtection="1">
      <alignment vertical="center"/>
    </xf>
    <xf numFmtId="49" fontId="4" fillId="0" borderId="13" xfId="0" applyNumberFormat="1" applyFont="1" applyBorder="1" applyAlignment="1" applyProtection="1">
      <alignment horizontal="center" vertical="center" textRotation="90" wrapText="1"/>
    </xf>
    <xf numFmtId="0" fontId="0" fillId="0" borderId="1" xfId="0" applyFont="1" applyFill="1" applyBorder="1" applyAlignment="1" applyProtection="1">
      <alignment horizontal="right" vertical="center" wrapText="1"/>
    </xf>
    <xf numFmtId="0" fontId="0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3" fillId="0" borderId="0" xfId="0" applyFont="1" applyBorder="1" applyAlignment="1" applyProtection="1">
      <alignment vertical="center"/>
    </xf>
    <xf numFmtId="0" fontId="0" fillId="5" borderId="1" xfId="0" applyFont="1" applyFill="1" applyBorder="1" applyAlignment="1" applyProtection="1">
      <alignment horizontal="right" vertical="center" wrapText="1"/>
      <protection locked="0"/>
    </xf>
    <xf numFmtId="0" fontId="0" fillId="0" borderId="1" xfId="0" applyBorder="1" applyAlignment="1" applyProtection="1">
      <alignment horizontal="right"/>
    </xf>
    <xf numFmtId="0" fontId="9" fillId="3" borderId="10" xfId="0" applyFont="1" applyFill="1" applyBorder="1" applyAlignment="1" applyProtection="1">
      <alignment horizontal="center" vertical="center"/>
    </xf>
    <xf numFmtId="0" fontId="9" fillId="0" borderId="1" xfId="0" applyFont="1" applyFill="1" applyBorder="1" applyAlignment="1" applyProtection="1">
      <alignment horizontal="center" vertical="center"/>
    </xf>
    <xf numFmtId="0" fontId="4" fillId="4" borderId="6" xfId="0" applyFont="1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/>
    </xf>
    <xf numFmtId="0" fontId="4" fillId="4" borderId="7" xfId="0" applyFont="1" applyFill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13" fillId="0" borderId="1" xfId="0" applyFont="1" applyBorder="1" applyAlignment="1" applyProtection="1">
      <alignment horizontal="center" vertical="center"/>
    </xf>
    <xf numFmtId="49" fontId="4" fillId="0" borderId="1" xfId="0" applyNumberFormat="1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</xf>
    <xf numFmtId="0" fontId="1" fillId="2" borderId="12" xfId="0" applyFont="1" applyFill="1" applyBorder="1" applyAlignment="1" applyProtection="1">
      <alignment horizontal="center" vertical="center"/>
    </xf>
    <xf numFmtId="49" fontId="4" fillId="0" borderId="13" xfId="0" applyNumberFormat="1" applyFont="1" applyBorder="1" applyAlignment="1" applyProtection="1">
      <alignment horizontal="center" vertical="center" wrapText="1" shrinkToFit="1"/>
    </xf>
    <xf numFmtId="0" fontId="4" fillId="0" borderId="14" xfId="0" applyFont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right" vertical="center"/>
    </xf>
    <xf numFmtId="0" fontId="4" fillId="0" borderId="12" xfId="0" applyFont="1" applyBorder="1" applyAlignment="1" applyProtection="1">
      <alignment horizontal="right" vertical="center"/>
    </xf>
    <xf numFmtId="0" fontId="2" fillId="2" borderId="2" xfId="0" applyFont="1" applyFill="1" applyBorder="1" applyAlignment="1" applyProtection="1">
      <alignment horizontal="left" vertical="top" indent="1"/>
      <protection locked="0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 wrapText="1"/>
    </xf>
    <xf numFmtId="0" fontId="12" fillId="0" borderId="2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4" fillId="5" borderId="10" xfId="0" applyFont="1" applyFill="1" applyBorder="1" applyAlignment="1" applyProtection="1">
      <alignment horizontal="left" vertical="center"/>
      <protection locked="0"/>
    </xf>
    <xf numFmtId="0" fontId="4" fillId="5" borderId="11" xfId="0" applyFont="1" applyFill="1" applyBorder="1" applyAlignment="1" applyProtection="1">
      <alignment horizontal="left" vertical="center"/>
      <protection locked="0"/>
    </xf>
    <xf numFmtId="0" fontId="4" fillId="5" borderId="12" xfId="0" applyFont="1" applyFill="1" applyBorder="1" applyAlignment="1" applyProtection="1">
      <alignment horizontal="left" vertical="center"/>
      <protection locked="0"/>
    </xf>
    <xf numFmtId="0" fontId="4" fillId="5" borderId="6" xfId="0" applyFont="1" applyFill="1" applyBorder="1" applyAlignment="1" applyProtection="1">
      <alignment horizontal="left" vertical="center"/>
      <protection locked="0"/>
    </xf>
    <xf numFmtId="0" fontId="4" fillId="5" borderId="3" xfId="0" applyFont="1" applyFill="1" applyBorder="1" applyAlignment="1" applyProtection="1">
      <alignment horizontal="left" vertical="center"/>
      <protection locked="0"/>
    </xf>
    <xf numFmtId="0" fontId="4" fillId="5" borderId="7" xfId="0" applyFont="1" applyFill="1" applyBorder="1" applyAlignment="1" applyProtection="1">
      <alignment horizontal="left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3" borderId="10" xfId="0" applyFill="1" applyBorder="1" applyAlignment="1" applyProtection="1">
      <alignment horizontal="right"/>
    </xf>
    <xf numFmtId="0" fontId="0" fillId="3" borderId="12" xfId="0" applyFill="1" applyBorder="1" applyAlignment="1" applyProtection="1">
      <alignment horizontal="right"/>
    </xf>
    <xf numFmtId="0" fontId="9" fillId="3" borderId="11" xfId="0" applyFont="1" applyFill="1" applyBorder="1" applyAlignment="1" applyProtection="1">
      <alignment horizontal="center" vertical="center"/>
    </xf>
    <xf numFmtId="0" fontId="9" fillId="3" borderId="1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109504</xdr:colOff>
      <xdr:row>0</xdr:row>
      <xdr:rowOff>83348</xdr:rowOff>
    </xdr:from>
    <xdr:to>
      <xdr:col>12</xdr:col>
      <xdr:colOff>589836</xdr:colOff>
      <xdr:row>0</xdr:row>
      <xdr:rowOff>988218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324192" y="83348"/>
          <a:ext cx="5242832" cy="9048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r"/>
          <a:r>
            <a:rPr lang="en-CA" sz="2400">
              <a:latin typeface="Arial" pitchFamily="34" charset="0"/>
              <a:cs typeface="Arial" pitchFamily="34" charset="0"/>
            </a:rPr>
            <a:t>9.36: Trade-off</a:t>
          </a:r>
          <a:r>
            <a:rPr lang="en-CA" sz="2400" baseline="0">
              <a:latin typeface="Arial" pitchFamily="34" charset="0"/>
              <a:cs typeface="Arial" pitchFamily="34" charset="0"/>
            </a:rPr>
            <a:t> Calculator</a:t>
          </a:r>
          <a:endParaRPr lang="en-CA" sz="2400">
            <a:latin typeface="Arial" pitchFamily="34" charset="0"/>
            <a:cs typeface="Arial" pitchFamily="34" charset="0"/>
          </a:endParaRPr>
        </a:p>
        <a:p>
          <a:pPr algn="r"/>
          <a:r>
            <a:rPr lang="en-CA" sz="1400">
              <a:latin typeface="Arial" pitchFamily="34" charset="0"/>
              <a:cs typeface="Arial" pitchFamily="34" charset="0"/>
            </a:rPr>
            <a:t>9.36.2.11 </a:t>
          </a:r>
          <a:r>
            <a:rPr lang="en-CA" sz="1400" baseline="0">
              <a:latin typeface="Arial" pitchFamily="34" charset="0"/>
              <a:cs typeface="Arial" pitchFamily="34" charset="0"/>
            </a:rPr>
            <a:t>Worksheet</a:t>
          </a:r>
        </a:p>
        <a:p>
          <a:pPr algn="r"/>
          <a:r>
            <a:rPr lang="en-CA" sz="1100" baseline="0">
              <a:latin typeface="Arial" pitchFamily="34" charset="0"/>
              <a:cs typeface="Arial" pitchFamily="34" charset="0"/>
            </a:rPr>
            <a:t>(2016/06) </a:t>
          </a:r>
          <a:endParaRPr lang="en-CA" sz="11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119060</xdr:colOff>
      <xdr:row>0</xdr:row>
      <xdr:rowOff>119060</xdr:rowOff>
    </xdr:from>
    <xdr:to>
      <xdr:col>3</xdr:col>
      <xdr:colOff>257173</xdr:colOff>
      <xdr:row>0</xdr:row>
      <xdr:rowOff>1150002</xdr:rowOff>
    </xdr:to>
    <xdr:pic>
      <xdr:nvPicPr>
        <xdr:cNvPr id="5" name="Picture 4" descr="COCLogo_610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9060" y="119060"/>
          <a:ext cx="2066926" cy="10309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10</xdr:row>
          <xdr:rowOff>88900</xdr:rowOff>
        </xdr:from>
        <xdr:to>
          <xdr:col>8</xdr:col>
          <xdr:colOff>698500</xdr:colOff>
          <xdr:row>10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Line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5"/>
  <sheetViews>
    <sheetView tabSelected="1" view="pageBreakPreview" zoomScale="70" zoomScaleNormal="80" zoomScaleSheetLayoutView="70" zoomScalePageLayoutView="70" workbookViewId="0">
      <selection activeCell="U11" sqref="U11"/>
    </sheetView>
  </sheetViews>
  <sheetFormatPr defaultRowHeight="14.5" x14ac:dyDescent="0.35"/>
  <cols>
    <col min="1" max="1" width="19.7265625" customWidth="1"/>
    <col min="2" max="7" width="4.7265625" customWidth="1"/>
    <col min="8" max="9" width="11" customWidth="1"/>
    <col min="10" max="11" width="15.7265625" customWidth="1"/>
    <col min="12" max="13" width="9.7265625" customWidth="1"/>
    <col min="14" max="14" width="8.1796875" customWidth="1"/>
  </cols>
  <sheetData>
    <row r="1" spans="1:20" ht="100" customHeight="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</row>
    <row r="2" spans="1:20" ht="45" customHeight="1" x14ac:dyDescent="0.35">
      <c r="A2" s="34" t="s">
        <v>25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6"/>
      <c r="N2" s="8"/>
      <c r="O2" s="8"/>
      <c r="P2" s="8"/>
      <c r="Q2" s="8"/>
      <c r="R2" s="8"/>
      <c r="S2" s="8"/>
      <c r="T2" s="8"/>
    </row>
    <row r="3" spans="1:20" ht="20.149999999999999" customHeight="1" x14ac:dyDescent="0.35">
      <c r="A3" s="3" t="s">
        <v>6</v>
      </c>
      <c r="B3" s="46"/>
      <c r="C3" s="47"/>
      <c r="D3" s="47"/>
      <c r="E3" s="47"/>
      <c r="F3" s="47"/>
      <c r="G3" s="47"/>
      <c r="H3" s="48"/>
      <c r="I3" s="37" t="s">
        <v>14</v>
      </c>
      <c r="J3" s="38"/>
      <c r="K3" s="38"/>
      <c r="L3" s="38"/>
      <c r="M3" s="39"/>
      <c r="N3" s="8"/>
      <c r="O3" s="8"/>
      <c r="P3" s="8"/>
      <c r="Q3" s="8"/>
      <c r="R3" s="8"/>
      <c r="S3" s="8"/>
      <c r="T3" s="8"/>
    </row>
    <row r="4" spans="1:20" ht="20.149999999999999" customHeight="1" x14ac:dyDescent="0.35">
      <c r="A4" s="4" t="s">
        <v>7</v>
      </c>
      <c r="B4" s="49"/>
      <c r="C4" s="50"/>
      <c r="D4" s="50"/>
      <c r="E4" s="50"/>
      <c r="F4" s="50"/>
      <c r="G4" s="50"/>
      <c r="H4" s="51"/>
      <c r="I4" s="40"/>
      <c r="J4" s="41"/>
      <c r="K4" s="41"/>
      <c r="L4" s="41"/>
      <c r="M4" s="42"/>
      <c r="N4" s="8"/>
      <c r="O4" s="8"/>
      <c r="P4" s="8"/>
      <c r="Q4" s="8"/>
      <c r="R4" s="8"/>
      <c r="S4" s="8"/>
      <c r="T4" s="8"/>
    </row>
    <row r="5" spans="1:20" ht="20.149999999999999" customHeight="1" x14ac:dyDescent="0.35">
      <c r="A5" s="4" t="s">
        <v>8</v>
      </c>
      <c r="B5" s="46"/>
      <c r="C5" s="47"/>
      <c r="D5" s="47"/>
      <c r="E5" s="47"/>
      <c r="F5" s="47"/>
      <c r="G5" s="47"/>
      <c r="H5" s="48"/>
      <c r="I5" s="40"/>
      <c r="J5" s="41"/>
      <c r="K5" s="41"/>
      <c r="L5" s="41"/>
      <c r="M5" s="42"/>
      <c r="N5" s="8"/>
      <c r="O5" s="8"/>
      <c r="P5" s="8"/>
      <c r="Q5" s="8"/>
      <c r="R5" s="8"/>
      <c r="S5" s="8"/>
      <c r="T5" s="8"/>
    </row>
    <row r="6" spans="1:20" ht="20.149999999999999" customHeight="1" x14ac:dyDescent="0.35">
      <c r="A6" s="4" t="s">
        <v>9</v>
      </c>
      <c r="B6" s="46"/>
      <c r="C6" s="47"/>
      <c r="D6" s="47"/>
      <c r="E6" s="47"/>
      <c r="F6" s="47"/>
      <c r="G6" s="47"/>
      <c r="H6" s="48"/>
      <c r="I6" s="43"/>
      <c r="J6" s="44"/>
      <c r="K6" s="44"/>
      <c r="L6" s="44"/>
      <c r="M6" s="45"/>
      <c r="N6" s="8"/>
      <c r="O6" s="8"/>
      <c r="P6" s="8"/>
      <c r="Q6" s="8"/>
      <c r="R6" s="8"/>
      <c r="S6" s="8"/>
      <c r="T6" s="8"/>
    </row>
    <row r="7" spans="1:20" ht="30" customHeight="1" x14ac:dyDescent="0.35">
      <c r="A7" s="31" t="s">
        <v>21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3"/>
      <c r="N7" s="8"/>
      <c r="O7" s="8"/>
      <c r="P7" s="8"/>
      <c r="Q7" s="8"/>
      <c r="R7" s="8"/>
      <c r="S7" s="8"/>
      <c r="T7" s="8"/>
    </row>
    <row r="8" spans="1:20" s="2" customFormat="1" ht="30" customHeight="1" x14ac:dyDescent="0.35">
      <c r="A8" s="19" t="s">
        <v>11</v>
      </c>
      <c r="B8" s="19" t="s">
        <v>15</v>
      </c>
      <c r="C8" s="19"/>
      <c r="D8" s="19"/>
      <c r="E8" s="19" t="s">
        <v>16</v>
      </c>
      <c r="F8" s="19"/>
      <c r="G8" s="19"/>
      <c r="H8" s="19" t="s">
        <v>12</v>
      </c>
      <c r="I8" s="19" t="s">
        <v>13</v>
      </c>
      <c r="J8" s="24" t="s">
        <v>23</v>
      </c>
      <c r="K8" s="19" t="s">
        <v>19</v>
      </c>
      <c r="L8" s="19" t="s">
        <v>17</v>
      </c>
      <c r="M8" s="19" t="s">
        <v>18</v>
      </c>
      <c r="N8" s="8"/>
      <c r="O8" s="8"/>
      <c r="P8" s="8"/>
      <c r="Q8" s="8"/>
      <c r="R8" s="8"/>
      <c r="S8" s="8"/>
      <c r="T8" s="8"/>
    </row>
    <row r="9" spans="1:20" s="2" customFormat="1" ht="150.75" customHeight="1" x14ac:dyDescent="0.35">
      <c r="A9" s="20"/>
      <c r="B9" s="5" t="s">
        <v>0</v>
      </c>
      <c r="C9" s="5" t="s">
        <v>3</v>
      </c>
      <c r="D9" s="5" t="s">
        <v>4</v>
      </c>
      <c r="E9" s="5" t="s">
        <v>1</v>
      </c>
      <c r="F9" s="5" t="s">
        <v>2</v>
      </c>
      <c r="G9" s="5" t="s">
        <v>5</v>
      </c>
      <c r="H9" s="20"/>
      <c r="I9" s="20"/>
      <c r="J9" s="25"/>
      <c r="K9" s="20"/>
      <c r="L9" s="20"/>
      <c r="M9" s="20"/>
      <c r="N9" s="9"/>
      <c r="O9" s="9"/>
      <c r="P9" s="8"/>
      <c r="Q9" s="8"/>
      <c r="R9" s="8"/>
      <c r="S9" s="8"/>
      <c r="T9" s="8"/>
    </row>
    <row r="10" spans="1:20" s="2" customFormat="1" ht="35.25" customHeight="1" x14ac:dyDescent="0.35">
      <c r="A10" s="26" t="s">
        <v>22</v>
      </c>
      <c r="B10" s="27"/>
      <c r="C10" s="27"/>
      <c r="D10" s="27"/>
      <c r="E10" s="27"/>
      <c r="F10" s="27"/>
      <c r="G10" s="27"/>
      <c r="H10" s="27"/>
      <c r="I10" s="27"/>
      <c r="J10" s="28" t="s">
        <v>26</v>
      </c>
      <c r="K10" s="28"/>
      <c r="L10" s="28"/>
      <c r="M10" s="29"/>
      <c r="N10" s="9"/>
      <c r="O10" s="9"/>
      <c r="P10" s="8"/>
      <c r="Q10" s="8"/>
      <c r="R10" s="8"/>
      <c r="S10" s="8"/>
      <c r="T10" s="8"/>
    </row>
    <row r="11" spans="1:20" s="2" customFormat="1" ht="33.75" customHeight="1" x14ac:dyDescent="0.35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6"/>
      <c r="N11" s="9"/>
      <c r="O11" s="9"/>
      <c r="P11" s="8"/>
      <c r="Q11" s="8"/>
      <c r="R11" s="8"/>
      <c r="S11" s="8"/>
      <c r="T11" s="8"/>
    </row>
    <row r="12" spans="1:20" s="1" customFormat="1" x14ac:dyDescent="0.3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6">
        <f>IF(J12=0,0,H12/J12)</f>
        <v>0</v>
      </c>
      <c r="M12" s="6">
        <f>IF(K12=0,0,I12/K12)</f>
        <v>0</v>
      </c>
    </row>
    <row r="13" spans="1:20" s="1" customFormat="1" x14ac:dyDescent="0.3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6">
        <f>IF(J13=0,0,H13/J13)</f>
        <v>0</v>
      </c>
      <c r="M13" s="6">
        <f>IF(K13=0,0,I13/K13)</f>
        <v>0</v>
      </c>
    </row>
    <row r="14" spans="1:20" s="1" customFormat="1" x14ac:dyDescent="0.3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6">
        <f>IF(J14=0,0,H14/J14)</f>
        <v>0</v>
      </c>
      <c r="M14" s="6">
        <f>IF(K14=0,0,I14/K14)</f>
        <v>0</v>
      </c>
    </row>
    <row r="15" spans="1:20" s="1" customFormat="1" ht="15" customHeight="1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6">
        <f t="shared" ref="L15:L23" si="0">IF(J15=0,0,H15/J15)</f>
        <v>0</v>
      </c>
      <c r="M15" s="6">
        <f t="shared" ref="M15:M23" si="1">IF(K15=0,0,I15/K15)</f>
        <v>0</v>
      </c>
    </row>
    <row r="16" spans="1:20" s="1" customFormat="1" ht="15" customHeight="1" x14ac:dyDescent="0.35">
      <c r="A16" s="10"/>
      <c r="B16" s="7"/>
      <c r="C16" s="7"/>
      <c r="D16" s="7"/>
      <c r="E16" s="7"/>
      <c r="F16" s="7"/>
      <c r="G16" s="7"/>
      <c r="H16" s="7"/>
      <c r="I16" s="7"/>
      <c r="J16" s="7"/>
      <c r="K16" s="7"/>
      <c r="L16" s="6">
        <f t="shared" si="0"/>
        <v>0</v>
      </c>
      <c r="M16" s="6">
        <f t="shared" si="1"/>
        <v>0</v>
      </c>
    </row>
    <row r="17" spans="1:20" s="1" customFormat="1" ht="15" customHeight="1" x14ac:dyDescent="0.35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6">
        <f t="shared" si="0"/>
        <v>0</v>
      </c>
      <c r="M17" s="6">
        <f t="shared" si="1"/>
        <v>0</v>
      </c>
    </row>
    <row r="18" spans="1:20" s="1" customFormat="1" ht="15" customHeight="1" x14ac:dyDescent="0.35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6">
        <f t="shared" si="0"/>
        <v>0</v>
      </c>
      <c r="M18" s="6">
        <f t="shared" si="1"/>
        <v>0</v>
      </c>
    </row>
    <row r="19" spans="1:20" s="1" customFormat="1" ht="15" customHeight="1" x14ac:dyDescent="0.35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6">
        <f t="shared" si="0"/>
        <v>0</v>
      </c>
      <c r="M19" s="6">
        <f t="shared" si="1"/>
        <v>0</v>
      </c>
      <c r="N19" s="8"/>
      <c r="O19" s="8"/>
      <c r="P19" s="8"/>
      <c r="Q19" s="8"/>
      <c r="R19" s="8"/>
      <c r="S19" s="8"/>
      <c r="T19" s="8"/>
    </row>
    <row r="20" spans="1:20" s="1" customFormat="1" ht="15" customHeight="1" x14ac:dyDescent="0.35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6">
        <f t="shared" si="0"/>
        <v>0</v>
      </c>
      <c r="M20" s="6">
        <f t="shared" si="1"/>
        <v>0</v>
      </c>
      <c r="N20" s="8"/>
      <c r="O20" s="8"/>
      <c r="P20" s="8"/>
      <c r="Q20" s="8"/>
      <c r="R20" s="8"/>
      <c r="S20" s="8"/>
      <c r="T20" s="8"/>
    </row>
    <row r="21" spans="1:20" s="1" customFormat="1" ht="15" customHeight="1" x14ac:dyDescent="0.3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6">
        <f t="shared" si="0"/>
        <v>0</v>
      </c>
      <c r="M21" s="6">
        <f t="shared" si="1"/>
        <v>0</v>
      </c>
      <c r="N21" s="8"/>
      <c r="O21" s="8"/>
      <c r="P21" s="8"/>
      <c r="Q21" s="8"/>
      <c r="R21" s="8"/>
      <c r="S21" s="8"/>
      <c r="T21" s="8"/>
    </row>
    <row r="22" spans="1:20" s="1" customFormat="1" ht="15" customHeight="1" x14ac:dyDescent="0.35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6">
        <f t="shared" si="0"/>
        <v>0</v>
      </c>
      <c r="M22" s="6">
        <f t="shared" si="1"/>
        <v>0</v>
      </c>
      <c r="N22" s="8"/>
      <c r="O22" s="8"/>
      <c r="P22" s="8"/>
      <c r="Q22" s="8"/>
      <c r="R22" s="8"/>
      <c r="S22" s="8"/>
      <c r="T22" s="8"/>
    </row>
    <row r="23" spans="1:20" s="1" customFormat="1" ht="15" customHeight="1" x14ac:dyDescent="0.35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6">
        <f t="shared" si="0"/>
        <v>0</v>
      </c>
      <c r="M23" s="6">
        <f t="shared" si="1"/>
        <v>0</v>
      </c>
      <c r="N23" s="8"/>
      <c r="O23" s="8"/>
      <c r="P23" s="8"/>
      <c r="Q23" s="8"/>
      <c r="R23" s="8"/>
      <c r="S23" s="8"/>
      <c r="T23" s="8"/>
    </row>
    <row r="24" spans="1:20" s="2" customFormat="1" ht="20.149999999999999" customHeight="1" x14ac:dyDescent="0.35">
      <c r="A24" s="12" t="s">
        <v>10</v>
      </c>
      <c r="B24" s="57"/>
      <c r="C24" s="57"/>
      <c r="D24" s="57"/>
      <c r="E24" s="57"/>
      <c r="F24" s="57"/>
      <c r="G24" s="58"/>
      <c r="H24" s="13">
        <f ca="1">SUM(INDIRECT("h11:h"&amp;ROW()-1))</f>
        <v>0</v>
      </c>
      <c r="I24" s="13">
        <f ca="1">SUM(INDIRECT("i11:i"&amp;ROW()-1))</f>
        <v>0</v>
      </c>
      <c r="J24" s="55"/>
      <c r="K24" s="56"/>
      <c r="L24" s="11">
        <f ca="1">SUM(INDIRECT("L11:L"&amp;ROW()-1))</f>
        <v>0</v>
      </c>
      <c r="M24" s="11">
        <f ca="1">SUM(INDIRECT("M11:M"&amp;ROW()-1))</f>
        <v>0</v>
      </c>
      <c r="N24" s="8"/>
      <c r="O24" s="8"/>
      <c r="P24" s="8"/>
      <c r="Q24" s="8"/>
      <c r="R24" s="8"/>
      <c r="S24" s="8"/>
      <c r="T24" s="8"/>
    </row>
    <row r="25" spans="1:20" s="2" customFormat="1" ht="30" customHeight="1" x14ac:dyDescent="0.35">
      <c r="A25" s="21" t="s">
        <v>20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3"/>
      <c r="N25" s="8"/>
      <c r="O25" s="8"/>
      <c r="P25" s="8"/>
      <c r="Q25" s="8"/>
      <c r="R25" s="8"/>
      <c r="S25" s="8"/>
      <c r="T25" s="8"/>
    </row>
    <row r="26" spans="1:20" s="2" customFormat="1" ht="30" customHeight="1" x14ac:dyDescent="0.35">
      <c r="A26" s="18" t="str">
        <f ca="1">IF(AND(M24&lt;=L24,H24=I24),"Yes","No")</f>
        <v>Yes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</row>
    <row r="27" spans="1:20" s="2" customFormat="1" ht="37.5" customHeight="1" x14ac:dyDescent="0.35">
      <c r="A27" s="52" t="s">
        <v>24</v>
      </c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4"/>
    </row>
    <row r="28" spans="1:20" s="2" customFormat="1" ht="22.5" customHeight="1" x14ac:dyDescent="0.3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</row>
    <row r="29" spans="1:20" s="2" customFormat="1" x14ac:dyDescent="0.35"/>
    <row r="30" spans="1:20" s="2" customFormat="1" x14ac:dyDescent="0.35"/>
    <row r="31" spans="1:20" s="2" customFormat="1" x14ac:dyDescent="0.35"/>
    <row r="32" spans="1:20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  <row r="64" s="2" customFormat="1" x14ac:dyDescent="0.35"/>
    <row r="65" spans="1:13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</sheetData>
  <sheetProtection algorithmName="SHA-512" hashValue="0ULf5kRyyLofuadaphKDyKc7um3a6+ALjkpDU64gpbU0SMHLa27YTar7894TowKV9fBJq7BVpIUkJXTFUbKfVA==" saltValue="P5sQqZhXdMxXHSOzAk5aDw==" spinCount="100000" sheet="1" objects="1" scenarios="1" selectLockedCells="1"/>
  <mergeCells count="25">
    <mergeCell ref="A28:M28"/>
    <mergeCell ref="A7:M7"/>
    <mergeCell ref="A2:M2"/>
    <mergeCell ref="I3:M6"/>
    <mergeCell ref="B3:H3"/>
    <mergeCell ref="B4:H4"/>
    <mergeCell ref="B5:H5"/>
    <mergeCell ref="B6:H6"/>
    <mergeCell ref="A27:M27"/>
    <mergeCell ref="H8:H9"/>
    <mergeCell ref="I8:I9"/>
    <mergeCell ref="J24:K24"/>
    <mergeCell ref="B24:G24"/>
    <mergeCell ref="A1:M1"/>
    <mergeCell ref="A26:M26"/>
    <mergeCell ref="L8:L9"/>
    <mergeCell ref="M8:M9"/>
    <mergeCell ref="A25:M25"/>
    <mergeCell ref="A8:A9"/>
    <mergeCell ref="B8:D8"/>
    <mergeCell ref="E8:G8"/>
    <mergeCell ref="J8:J9"/>
    <mergeCell ref="K8:K9"/>
    <mergeCell ref="A10:I10"/>
    <mergeCell ref="J10:M10"/>
  </mergeCells>
  <printOptions horizontalCentered="1" verticalCentered="1"/>
  <pageMargins left="0.7" right="0.7" top="0.75" bottom="0.75" header="0.3" footer="0.3"/>
  <pageSetup scale="74" orientation="portrait" r:id="rId1"/>
  <ignoredErrors>
    <ignoredError sqref="L15:M23 L13:M13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locked="0" defaultSize="0" print="0" autoFill="0" autoPict="0" macro="[0]!AddLine">
                <anchor moveWithCells="1" sizeWithCells="1">
                  <from>
                    <xdr:col>5</xdr:col>
                    <xdr:colOff>31750</xdr:colOff>
                    <xdr:row>10</xdr:row>
                    <xdr:rowOff>88900</xdr:rowOff>
                  </from>
                  <to>
                    <xdr:col>8</xdr:col>
                    <xdr:colOff>698500</xdr:colOff>
                    <xdr:row>10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1"/>
  <sheetViews>
    <sheetView workbookViewId="0">
      <selection activeCell="F15" sqref="F15"/>
    </sheetView>
  </sheetViews>
  <sheetFormatPr defaultRowHeight="14.5" x14ac:dyDescent="0.35"/>
  <sheetData>
    <row r="1" spans="1:13" x14ac:dyDescent="0.3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6">
        <f>H$11*J$11</f>
        <v>0</v>
      </c>
      <c r="M1" s="6">
        <f>I$11*K$11</f>
        <v>0</v>
      </c>
    </row>
  </sheetData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6A2C1687CA6D4CBC65D260A316D77B" ma:contentTypeVersion="0" ma:contentTypeDescription="Create a new document." ma:contentTypeScope="" ma:versionID="a1ca3bbda5743892998a3d8b47423454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C5238B-8423-42BC-ABD9-16A47A7811DF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93D4A62-C7CF-484F-9041-85A084DB1C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85B7720F-A4ED-4600-8226-C835113C3F0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3 Trade-off Worksheet</vt:lpstr>
      <vt:lpstr>Sheet3</vt:lpstr>
    </vt:vector>
  </TitlesOfParts>
  <Company>The City of Calgary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lsequeir</dc:creator>
  <cp:lastModifiedBy>Chappelle, Christina</cp:lastModifiedBy>
  <cp:lastPrinted>2016-06-29T19:54:04Z</cp:lastPrinted>
  <dcterms:created xsi:type="dcterms:W3CDTF">2015-10-14T20:07:35Z</dcterms:created>
  <dcterms:modified xsi:type="dcterms:W3CDTF">2023-06-29T15:30:59Z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0x010100256A2C1687CA6D4CBC65D260A316D77B</vt:lpwstr>
  </property>
</Properties>
</file>